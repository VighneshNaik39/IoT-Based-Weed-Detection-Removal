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IoT-Based-Weed-Detection-Removal\docs\Resources\"/>
    </mc:Choice>
  </mc:AlternateContent>
  <xr:revisionPtr revIDLastSave="0" documentId="13_ncr:1_{9A93EAED-ABE9-4A4C-BFDB-21D9377C684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mponent Track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12" i="1"/>
  <c r="E11" i="1"/>
  <c r="E10" i="1"/>
  <c r="E9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<sst xmlns="http://schemas.openxmlformats.org/spreadsheetml/2006/main" count="58" uniqueCount="36">
  <si>
    <t>🔧 Robot Mower – Component Tracker</t>
  </si>
  <si>
    <t>Category</t>
  </si>
  <si>
    <t>Component</t>
  </si>
  <si>
    <t>Qty</t>
  </si>
  <si>
    <t>Unit Price (₹)</t>
  </si>
  <si>
    <t>Total Price (₹)</t>
  </si>
  <si>
    <t>Status</t>
  </si>
  <si>
    <t>Notes</t>
  </si>
  <si>
    <t>Core</t>
  </si>
  <si>
    <t>Raspberry Pi 4</t>
  </si>
  <si>
    <t>Pending</t>
  </si>
  <si>
    <t>ESP32</t>
  </si>
  <si>
    <t>Vision</t>
  </si>
  <si>
    <t>Camera Module</t>
  </si>
  <si>
    <t>Motion</t>
  </si>
  <si>
    <t>Motor</t>
  </si>
  <si>
    <t>Motor Driver</t>
  </si>
  <si>
    <t>Blade</t>
  </si>
  <si>
    <t>Power</t>
  </si>
  <si>
    <t>12V Battery</t>
  </si>
  <si>
    <t>DC-DC Converter</t>
  </si>
  <si>
    <t>Mechanical</t>
  </si>
  <si>
    <t>Chassis</t>
  </si>
  <si>
    <t>Wheels</t>
  </si>
  <si>
    <t>Mounts</t>
  </si>
  <si>
    <t>Electronics</t>
  </si>
  <si>
    <t>Wires</t>
  </si>
  <si>
    <t>Switch</t>
  </si>
  <si>
    <t>Relay (optional)</t>
  </si>
  <si>
    <t>TOTAL</t>
  </si>
  <si>
    <t>Status Legend:</t>
  </si>
  <si>
    <t>Finalised</t>
  </si>
  <si>
    <t>Ordered</t>
  </si>
  <si>
    <t>Received</t>
  </si>
  <si>
    <t>Not Needed</t>
  </si>
  <si>
    <t>https://amzn.in/d/00oOIB51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</si>
</sst>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9"/>
      <color rgb="FF000000"/>
      <name val="Arial"/>
      <charset val="1"/>
    </font>
    <font>
      <b/>
      <sz val="9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CE6F1"/>
        <bgColor rgb="FFCCFFFF"/>
      </patternFill>
    </fill>
    <fill>
      <patternFill patternType="solid">
        <fgColor rgb="FFFFD966"/>
        <bgColor rgb="FFFFFF99"/>
      </patternFill>
    </fill>
    <fill>
      <patternFill patternType="solid">
        <fgColor rgb="FF70AD47"/>
        <bgColor rgb="FF339966"/>
      </patternFill>
    </fill>
    <fill>
      <patternFill patternType="solid">
        <fgColor rgb="FF5B9BD5"/>
        <bgColor rgb="FF2E75B6"/>
      </patternFill>
    </fill>
    <fill>
      <patternFill patternType="solid">
        <fgColor rgb="FFBFBFBF"/>
        <bgColor rgb="FFCCCC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5" fillId="0" borderId="0" xfId="0" applyFont="1"/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5">
    <dxf>
      <fill>
        <patternFill>
          <bgColor rgb="FFBFBFBF"/>
        </patternFill>
      </fill>
    </dxf>
    <dxf>
      <fill>
        <patternFill>
          <bgColor rgb="FF70AD47"/>
        </patternFill>
      </fill>
    </dxf>
    <dxf>
      <fill>
        <patternFill>
          <bgColor rgb="FF5B9BD5"/>
        </patternFill>
      </fill>
    </dxf>
    <dxf>
      <fill>
        <patternFill>
          <bgColor rgb="FFFFD966"/>
        </patternFill>
      </fill>
    </dxf>
    <dxf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pane ySplit="2" topLeftCell="A3" activePane="bottomLeft" state="frozen"/>
      <selection pane="bottomLeft" activeCell="M7" sqref="M7"/>
    </sheetView>
  </sheetViews>
  <sheetFormatPr defaultColWidth="8.6640625" defaultRowHeight="14.4" x14ac:dyDescent="0.3"/>
  <cols>
    <col min="1" max="1" width="14" customWidth="1"/>
    <col min="2" max="2" width="22" customWidth="1"/>
    <col min="3" max="3" width="6" customWidth="1"/>
    <col min="4" max="5" width="16" customWidth="1"/>
    <col min="6" max="6" width="14" customWidth="1"/>
    <col min="7" max="7" width="30" customWidth="1"/>
  </cols>
  <sheetData>
    <row r="1" spans="1:7" ht="36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9.5" customHeight="1" x14ac:dyDescent="0.3">
      <c r="A3" s="2" t="s">
        <v>8</v>
      </c>
      <c r="B3" s="3" t="s">
        <v>9</v>
      </c>
      <c r="C3" s="2">
        <v>1</v>
      </c>
      <c r="D3" s="2"/>
      <c r="E3" s="2" t="str">
        <f t="shared" ref="E3:E16" si="0">IF(D3="","",C3*D3)</f>
        <v/>
      </c>
      <c r="F3" s="2" t="s">
        <v>10</v>
      </c>
      <c r="G3" s="3"/>
    </row>
    <row r="4" spans="1:7" ht="19.5" customHeight="1" x14ac:dyDescent="0.3">
      <c r="A4" s="4" t="s">
        <v>8</v>
      </c>
      <c r="B4" s="5" t="s">
        <v>11</v>
      </c>
      <c r="C4" s="4">
        <v>1</v>
      </c>
      <c r="D4" s="4"/>
      <c r="E4" s="4" t="str">
        <f t="shared" si="0"/>
        <v/>
      </c>
      <c r="F4" s="4" t="s">
        <v>10</v>
      </c>
      <c r="G4" s="5"/>
    </row>
    <row r="5" spans="1:7" ht="19.5" customHeight="1" x14ac:dyDescent="0.3">
      <c r="A5" s="2" t="s">
        <v>12</v>
      </c>
      <c r="B5" s="3" t="s">
        <v>13</v>
      </c>
      <c r="C5" s="2">
        <v>1</v>
      </c>
      <c r="D5" s="2"/>
      <c r="E5" s="2" t="str">
        <f t="shared" si="0"/>
        <v/>
      </c>
      <c r="F5" s="2" t="s">
        <v>10</v>
      </c>
      <c r="G5" s="3"/>
    </row>
    <row r="6" spans="1:7" ht="19.5" customHeight="1" x14ac:dyDescent="0.3">
      <c r="A6" s="4" t="s">
        <v>14</v>
      </c>
      <c r="B6" s="5" t="s">
        <v>15</v>
      </c>
      <c r="C6" s="4">
        <v>4</v>
      </c>
      <c r="D6" s="4"/>
      <c r="E6" s="4" t="str">
        <f t="shared" si="0"/>
        <v/>
      </c>
      <c r="F6" s="4" t="s">
        <v>10</v>
      </c>
      <c r="G6" s="5"/>
    </row>
    <row r="7" spans="1:7" ht="19.5" customHeight="1" x14ac:dyDescent="0.3">
      <c r="A7" s="2" t="s">
        <v>14</v>
      </c>
      <c r="B7" s="3" t="s">
        <v>16</v>
      </c>
      <c r="C7" s="2">
        <v>1</v>
      </c>
      <c r="D7" s="2"/>
      <c r="E7" s="2" t="str">
        <f t="shared" si="0"/>
        <v/>
      </c>
      <c r="F7" s="2" t="s">
        <v>10</v>
      </c>
      <c r="G7" s="3"/>
    </row>
    <row r="8" spans="1:7" ht="19.5" customHeight="1" x14ac:dyDescent="0.3">
      <c r="A8" s="4" t="s">
        <v>14</v>
      </c>
      <c r="B8" s="5" t="s">
        <v>17</v>
      </c>
      <c r="C8" s="4">
        <v>1</v>
      </c>
      <c r="D8" s="4"/>
      <c r="E8" s="4">
        <v>200</v>
      </c>
      <c r="F8" s="4" t="s">
        <v>10</v>
      </c>
      <c r="G8" s="5"/>
    </row>
    <row r="9" spans="1:7" ht="19.5" customHeight="1" x14ac:dyDescent="0.3">
      <c r="A9" s="2" t="s">
        <v>18</v>
      </c>
      <c r="B9" s="3" t="s">
        <v>19</v>
      </c>
      <c r="C9" s="2">
        <v>1</v>
      </c>
      <c r="D9" s="2"/>
      <c r="E9" s="2" t="str">
        <f t="shared" si="0"/>
        <v/>
      </c>
      <c r="F9" s="2" t="s">
        <v>10</v>
      </c>
      <c r="G9" s="3" t="s">
        <v>35</v>
      </c>
    </row>
    <row r="10" spans="1:7" ht="19.5" customHeight="1" x14ac:dyDescent="0.3">
      <c r="A10" s="4" t="s">
        <v>18</v>
      </c>
      <c r="B10" s="5" t="s">
        <v>20</v>
      </c>
      <c r="C10" s="4">
        <v>1</v>
      </c>
      <c r="D10" s="4"/>
      <c r="E10" s="4" t="str">
        <f t="shared" si="0"/>
        <v/>
      </c>
      <c r="F10" s="4" t="s">
        <v>10</v>
      </c>
      <c r="G10" s="5"/>
    </row>
    <row r="11" spans="1:7" ht="19.5" customHeight="1" x14ac:dyDescent="0.3">
      <c r="A11" s="2" t="s">
        <v>21</v>
      </c>
      <c r="B11" s="3" t="s">
        <v>22</v>
      </c>
      <c r="C11" s="2">
        <v>1</v>
      </c>
      <c r="D11" s="2"/>
      <c r="E11" s="2" t="str">
        <f t="shared" si="0"/>
        <v/>
      </c>
      <c r="F11" s="2" t="s">
        <v>10</v>
      </c>
      <c r="G11" s="3"/>
    </row>
    <row r="12" spans="1:7" ht="19.5" customHeight="1" x14ac:dyDescent="0.3">
      <c r="A12" s="4" t="s">
        <v>21</v>
      </c>
      <c r="B12" s="5" t="s">
        <v>23</v>
      </c>
      <c r="C12" s="4">
        <v>4</v>
      </c>
      <c r="D12" s="4"/>
      <c r="E12" s="4" t="str">
        <f t="shared" si="0"/>
        <v/>
      </c>
      <c r="F12" s="4" t="s">
        <v>10</v>
      </c>
      <c r="G12" s="5"/>
    </row>
    <row r="13" spans="1:7" ht="19.5" customHeight="1" x14ac:dyDescent="0.3">
      <c r="A13" s="2" t="s">
        <v>21</v>
      </c>
      <c r="B13" s="3" t="s">
        <v>24</v>
      </c>
      <c r="C13" s="2">
        <v>1</v>
      </c>
      <c r="D13" s="2"/>
      <c r="E13" s="2" t="str">
        <f t="shared" si="0"/>
        <v/>
      </c>
      <c r="F13" s="2" t="s">
        <v>10</v>
      </c>
      <c r="G13" s="3"/>
    </row>
    <row r="14" spans="1:7" ht="19.5" customHeight="1" x14ac:dyDescent="0.3">
      <c r="A14" s="4" t="s">
        <v>25</v>
      </c>
      <c r="B14" s="5" t="s">
        <v>26</v>
      </c>
      <c r="C14" s="4">
        <v>1</v>
      </c>
      <c r="D14" s="4"/>
      <c r="E14" s="4" t="str">
        <f t="shared" si="0"/>
        <v/>
      </c>
      <c r="F14" s="4" t="s">
        <v>10</v>
      </c>
      <c r="G14" s="5"/>
    </row>
    <row r="15" spans="1:7" ht="19.5" customHeight="1" x14ac:dyDescent="0.3">
      <c r="A15" s="2" t="s">
        <v>25</v>
      </c>
      <c r="B15" s="3" t="s">
        <v>27</v>
      </c>
      <c r="C15" s="2">
        <v>1</v>
      </c>
      <c r="D15" s="2"/>
      <c r="E15" s="2" t="str">
        <f t="shared" si="0"/>
        <v/>
      </c>
      <c r="F15" s="2" t="s">
        <v>10</v>
      </c>
      <c r="G15" s="3"/>
    </row>
    <row r="16" spans="1:7" ht="19.5" customHeight="1" x14ac:dyDescent="0.3">
      <c r="A16" s="4" t="s">
        <v>25</v>
      </c>
      <c r="B16" s="5" t="s">
        <v>28</v>
      </c>
      <c r="C16" s="4">
        <v>1</v>
      </c>
      <c r="D16" s="4"/>
      <c r="E16" s="4" t="str">
        <f t="shared" si="0"/>
        <v/>
      </c>
      <c r="F16" s="4" t="s">
        <v>10</v>
      </c>
      <c r="G16" s="5"/>
    </row>
    <row r="17" spans="1:7" ht="24" customHeight="1" x14ac:dyDescent="0.3">
      <c r="A17" s="15" t="s">
        <v>29</v>
      </c>
      <c r="B17" s="15"/>
      <c r="C17" s="15"/>
      <c r="D17" s="15"/>
      <c r="E17" s="6">
        <f>SUMPRODUCT(IFERROR(N(E3:E16),0))</f>
        <v>0</v>
      </c>
      <c r="F17" s="7"/>
      <c r="G17" s="7"/>
    </row>
    <row r="19" spans="1:7" ht="18" customHeight="1" x14ac:dyDescent="0.3">
      <c r="A19" s="8" t="s">
        <v>30</v>
      </c>
      <c r="B19" s="9" t="s">
        <v>31</v>
      </c>
      <c r="C19" s="10" t="s">
        <v>10</v>
      </c>
      <c r="D19" s="11" t="s">
        <v>32</v>
      </c>
      <c r="E19" s="12" t="s">
        <v>33</v>
      </c>
      <c r="F19" s="13" t="s">
        <v>34</v>
      </c>
    </row>
  </sheetData>
  <mergeCells count="2">
    <mergeCell ref="A1:G1"/>
    <mergeCell ref="A17:D17"/>
  </mergeCells>
  <conditionalFormatting sqref="F3:F16">
    <cfRule type="cellIs" dxfId="4" priority="2" operator="equal">
      <formula>"Finalised"</formula>
    </cfRule>
    <cfRule type="cellIs" dxfId="3" priority="3" operator="equal">
      <formula>"Pending"</formula>
    </cfRule>
    <cfRule type="cellIs" dxfId="2" priority="4" operator="equal">
      <formula>"Ordered"</formula>
    </cfRule>
    <cfRule type="cellIs" dxfId="1" priority="5" operator="equal">
      <formula>"Received"</formula>
    </cfRule>
    <cfRule type="cellIs" dxfId="0" priority="6" operator="equal">
      <formula>"Not Needed"</formula>
    </cfRule>
  </conditionalFormatting>
  <dataValidations count="1">
    <dataValidation type="list" allowBlank="1" sqref="F3:F16" xr:uid="{00000000-0002-0000-0000-000000000000}">
      <formula1>"Finalised,Pending,Ordered,Received,Not Needed"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naikvighnesh39@gmail.com</cp:lastModifiedBy>
  <cp:revision>0</cp:revision>
  <dcterms:created xsi:type="dcterms:W3CDTF">2026-03-31T06:40:35Z</dcterms:created>
  <dcterms:modified xsi:type="dcterms:W3CDTF">2026-04-04T20:40:13Z</dcterms:modified>
  <dc:language>en-US</dc:language>
</cp:coreProperties>
</file>